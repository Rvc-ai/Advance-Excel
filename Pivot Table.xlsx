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F:\Excel\Advanced Excel\"/>
    </mc:Choice>
  </mc:AlternateContent>
  <xr:revisionPtr revIDLastSave="0" documentId="13_ncr:1_{C26DBB13-5654-4CC3-AB3D-38C77C2E95FD}" xr6:coauthVersionLast="47" xr6:coauthVersionMax="47" xr10:uidLastSave="{00000000-0000-0000-0000-000000000000}"/>
  <bookViews>
    <workbookView xWindow="-108" yWindow="-108" windowWidth="23256" windowHeight="12456" activeTab="1" xr2:uid="{AAB82B24-23A9-4744-A41B-BA2B00977C2F}"/>
  </bookViews>
  <sheets>
    <sheet name="Pivot Chart" sheetId="2" r:id="rId1"/>
    <sheet name="Sclicer" sheetId="3" r:id="rId2"/>
    <sheet name="Book2" sheetId="1" r:id="rId3"/>
  </sheets>
  <definedNames>
    <definedName name="Slicer_Item">#N/A</definedName>
    <definedName name="Slicer_Region">#N/A</definedName>
  </definedNames>
  <calcPr calcId="0"/>
  <pivotCaches>
    <pivotCache cacheId="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<sst xmlns="http://schemas.openxmlformats.org/spreadsheetml/2006/main" count="261" uniqueCount="54">
  <si>
    <t>OrderDate</t>
  </si>
  <si>
    <t>Region</t>
  </si>
  <si>
    <t>Rep</t>
  </si>
  <si>
    <t>Item</t>
  </si>
  <si>
    <t>Units</t>
  </si>
  <si>
    <t>UnitCost</t>
  </si>
  <si>
    <t>Total</t>
  </si>
  <si>
    <t>East</t>
  </si>
  <si>
    <t>Jones</t>
  </si>
  <si>
    <t>Pencil</t>
  </si>
  <si>
    <t>Central</t>
  </si>
  <si>
    <t>Kivell</t>
  </si>
  <si>
    <t>Binder</t>
  </si>
  <si>
    <t>Jardine</t>
  </si>
  <si>
    <t>Gill</t>
  </si>
  <si>
    <t>Pen</t>
  </si>
  <si>
    <t>West</t>
  </si>
  <si>
    <t>Sorvino</t>
  </si>
  <si>
    <t>Andrews</t>
  </si>
  <si>
    <t>Thompson</t>
  </si>
  <si>
    <t>Morgan</t>
  </si>
  <si>
    <t>Howard</t>
  </si>
  <si>
    <t>Parent</t>
  </si>
  <si>
    <t>Smith</t>
  </si>
  <si>
    <t>Desk</t>
  </si>
  <si>
    <t>Pen Set</t>
  </si>
  <si>
    <t>1-23-2020</t>
  </si>
  <si>
    <t>2-26-2020</t>
  </si>
  <si>
    <t>3-15-2020</t>
  </si>
  <si>
    <t>4-18-2020</t>
  </si>
  <si>
    <t>5-22-2020</t>
  </si>
  <si>
    <t>6-25-2020</t>
  </si>
  <si>
    <t>7-29-2020</t>
  </si>
  <si>
    <t>8-15-2020</t>
  </si>
  <si>
    <t>9-18-2020</t>
  </si>
  <si>
    <t>10-22-2020</t>
  </si>
  <si>
    <t>11-25-2020</t>
  </si>
  <si>
    <t>12-29-2020</t>
  </si>
  <si>
    <t>1-15-2021</t>
  </si>
  <si>
    <t>2-18-2021</t>
  </si>
  <si>
    <t>3-24-2021</t>
  </si>
  <si>
    <t>4-27-2021</t>
  </si>
  <si>
    <t>5-14-2021</t>
  </si>
  <si>
    <t>5-31-2021</t>
  </si>
  <si>
    <t>6-17-2021</t>
  </si>
  <si>
    <t>7-21-2021</t>
  </si>
  <si>
    <t>8-24-2021</t>
  </si>
  <si>
    <t>9-27-2021</t>
  </si>
  <si>
    <t>10-14-2021</t>
  </si>
  <si>
    <t>Grand Total</t>
  </si>
  <si>
    <t>Sum of Total</t>
  </si>
  <si>
    <t>Count of Region</t>
  </si>
  <si>
    <t>Count of Rep</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</si>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</sst>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4" fontId="0" fillId="0" borderId="0" xfId="0" applyNumberFormat="1"/>
    <xf numFmtId="14" fontId="0" fillId="0" borderId="0" xfId="0" applyNumberFormat="1" applyAlignment="1">
      <alignment horizontal="right" vertic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alignment horizontal="righ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Total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Chart'!$B$3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Chart'!$A$4:$A$7</c:f>
              <c:strCache>
                <c:ptCount val="3"/>
                <c:pt idx="0">
                  <c:v>Central</c:v>
                </c:pt>
                <c:pt idx="1">
                  <c:v>East</c:v>
                </c:pt>
                <c:pt idx="2">
                  <c:v>West</c:v>
                </c:pt>
              </c:strCache>
            </c:strRef>
          </c:cat>
          <c:val>
            <c:numRef>
              <c:f>'Pivot Chart'!$B$4:$B$7</c:f>
              <c:numCache>
                <c:formatCode>0.00%</c:formatCode>
                <c:ptCount val="3"/>
                <c:pt idx="0">
                  <c:v>0.51592510328663932</c:v>
                </c:pt>
                <c:pt idx="1">
                  <c:v>0.34226954034950657</c:v>
                </c:pt>
                <c:pt idx="2">
                  <c:v>0.14180535636385411</c:v>
                </c:pt>
              </c:numCache>
            </c:numRef>
          </c:val>
          <c:extLst>
            <c:ext xmlns:c16="http://schemas.microsoft.com/office/drawing/2014/chart" uri="{C3380CC4-5D6E-409C-BE32-E72D297353CC}">
              <c16:uniqueId val="{00000000-34C1-422D-9085-970800FDC4B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601980</xdr:colOff>
      <xdr:row>0</xdr:row>
      <xdr:rowOff>0</xdr:rowOff>
    </xdr:from>
    <xdr:to>
      <xdr:col>8</xdr:col>
      <xdr:colOff>426720</xdr:colOff>
      <xdr:row>16</xdr:row>
      <xdr:rowOff>64770</xdr:rowOff>
    </xdr:to>
    <xdr:graphicFrame macro="">
      <xdr:nvGraphicFramePr>
        <xdr:cNvPr id="2" name="Chart 1">
          <a:extLst>
            <a:ext uri="{FF2B5EF4-FFF2-40B4-BE49-F238E27FC236}">
              <a16:creationId xmlns:a16="http://schemas.microsoft.com/office/drawing/2014/main" id="{B4B8387E-8946-FA50-5A17-E24FAB5C6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327660</xdr:colOff>
      <xdr:row>2</xdr:row>
      <xdr:rowOff>152400</xdr:rowOff>
    </xdr:from>
    <xdr:to>
      <xdr:col>10</xdr:col>
      <xdr:colOff>22860</xdr:colOff>
      <xdr:row>16</xdr:row>
      <xdr:rowOff>59055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61BEEEA8-3A30-EFC8-F1D1-1C5D4B4294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57900" y="518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807720</xdr:colOff>
      <xdr:row>1</xdr:row>
      <xdr:rowOff>114300</xdr:rowOff>
    </xdr:from>
    <xdr:to>
      <xdr:col>12</xdr:col>
      <xdr:colOff>502920</xdr:colOff>
      <xdr:row>15</xdr:row>
      <xdr:rowOff>20955</xdr:rowOff>
    </xdr:to>
    <mc:AlternateContent xmlns:mc="http://schemas.openxmlformats.org/markup-compatibility/2006">
      <mc:Choice xmlns:a14="http://schemas.microsoft.com/office/drawing/2010/main" Requires="a14">
        <xdr:graphicFrame macro="">
          <xdr:nvGraphicFramePr>
            <xdr:cNvPr id="4" name="Item">
              <a:extLst>
                <a:ext uri="{FF2B5EF4-FFF2-40B4-BE49-F238E27FC236}">
                  <a16:creationId xmlns:a16="http://schemas.microsoft.com/office/drawing/2014/main" id="{92A732A4-E806-41CE-67B1-FD57DB56C5C7}"/>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8671560" y="29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CHAVAN" refreshedDate="45977.664085763892" createdVersion="8" refreshedVersion="8" minRefreshableVersion="3" recordCount="39" xr:uid="{5F66027C-A4CE-4A5D-A78C-064CD2D17DEC}">
  <cacheSource type="worksheet">
    <worksheetSource ref="A1:G40" sheet="Book2"/>
  </cacheSource>
  <cacheFields count="7">
    <cacheField name="OrderDate" numFmtId="14">
      <sharedItems containsDate="1" containsMixedTypes="1" minDate="2020-01-04T00:00:00" maxDate="2021-10-10T00:00:00" count="39">
        <d v="2020-06-01T00:00:00"/>
        <s v="1-23-2020"/>
        <d v="2020-09-02T00:00:00"/>
        <s v="2-26-2020"/>
        <s v="3-15-2020"/>
        <d v="2020-01-04T00:00:00"/>
        <s v="4-18-2020"/>
        <d v="2020-05-05T00:00:00"/>
        <s v="5-22-2020"/>
        <d v="2020-08-06T00:00:00"/>
        <s v="6-25-2020"/>
        <d v="2020-12-07T00:00:00"/>
        <s v="7-29-2020"/>
        <s v="8-15-2020"/>
        <d v="2020-01-09T00:00:00"/>
        <s v="9-18-2020"/>
        <d v="2020-05-10T00:00:00"/>
        <s v="10-22-2020"/>
        <d v="2020-08-11T00:00:00"/>
        <s v="11-25-2020"/>
        <d v="2020-12-12T00:00:00"/>
        <s v="12-29-2020"/>
        <s v="1-15-2021"/>
        <d v="2021-01-02T00:00:00"/>
        <s v="2-18-2021"/>
        <d v="2021-07-03T00:00:00"/>
        <s v="3-24-2021"/>
        <d v="2021-10-04T00:00:00"/>
        <s v="4-27-2021"/>
        <s v="5-14-2021"/>
        <s v="5-31-2021"/>
        <s v="6-17-2021"/>
        <d v="2021-04-07T00:00:00"/>
        <s v="7-21-2021"/>
        <d v="2021-07-08T00:00:00"/>
        <s v="8-24-2021"/>
        <d v="2021-10-09T00:00:00"/>
        <s v="9-27-2021"/>
        <s v="10-14-2021"/>
      </sharedItems>
    </cacheField>
    <cacheField name="Region" numFmtId="0">
      <sharedItems count="3">
        <s v="East"/>
        <s v="Central"/>
        <s v="West"/>
      </sharedItems>
    </cacheField>
    <cacheField name="Rep" numFmtId="0">
      <sharedItems count="11">
        <s v="Jones"/>
        <s v="Kivell"/>
        <s v="Jardine"/>
        <s v="Gill"/>
        <s v="Sorvino"/>
        <s v="Andrews"/>
        <s v="Thompson"/>
        <s v="Morgan"/>
        <s v="Howard"/>
        <s v="Parent"/>
        <s v="Smith"/>
      </sharedItems>
    </cacheField>
    <cacheField name="Item" numFmtId="0">
      <sharedItems count="5">
        <s v="Pencil"/>
        <s v="Binder"/>
        <s v="Pen"/>
        <s v="Desk"/>
        <s v="Pen Set"/>
      </sharedItems>
    </cacheField>
    <cacheField name="Units" numFmtId="0">
      <sharedItems containsSemiMixedTypes="0" containsString="0" containsNumber="1" containsInteger="1" minValue="2" maxValue="96"/>
    </cacheField>
    <cacheField name="UnitCost" numFmtId="0">
      <sharedItems containsSemiMixedTypes="0" containsString="0" containsNumber="1" minValue="1.29" maxValue="275"/>
    </cacheField>
    <cacheField name="Total" numFmtId="0">
      <sharedItems containsSemiMixedTypes="0" containsString="0" containsNumber="1" minValue="9.0299999999999994" maxValue="1619.19"/>
    </cacheField>
  </cacheFields>
  <extLst>
    <ext xmlns:x14="http://schemas.microsoft.com/office/spreadsheetml/2009/9/main" uri="{725AE2AE-9491-48be-B2B4-4EB974FC3084}">
      <x14:pivotCacheDefinition pivotCacheId="15294199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x v="0"/>
    <x v="0"/>
    <n v="95"/>
    <n v="1.99"/>
    <n v="189.05"/>
  </r>
  <r>
    <x v="1"/>
    <x v="1"/>
    <x v="1"/>
    <x v="1"/>
    <n v="50"/>
    <n v="19.989999999999998"/>
    <n v="999.5"/>
  </r>
  <r>
    <x v="2"/>
    <x v="1"/>
    <x v="2"/>
    <x v="0"/>
    <n v="36"/>
    <n v="4.99"/>
    <n v="179.64"/>
  </r>
  <r>
    <x v="3"/>
    <x v="1"/>
    <x v="3"/>
    <x v="2"/>
    <n v="27"/>
    <n v="19.989999999999998"/>
    <n v="539.73"/>
  </r>
  <r>
    <x v="4"/>
    <x v="2"/>
    <x v="4"/>
    <x v="0"/>
    <n v="56"/>
    <n v="2.99"/>
    <n v="167.44"/>
  </r>
  <r>
    <x v="5"/>
    <x v="0"/>
    <x v="0"/>
    <x v="1"/>
    <n v="60"/>
    <n v="4.99"/>
    <n v="299.39999999999998"/>
  </r>
  <r>
    <x v="6"/>
    <x v="1"/>
    <x v="5"/>
    <x v="0"/>
    <n v="75"/>
    <n v="1.99"/>
    <n v="149.25"/>
  </r>
  <r>
    <x v="7"/>
    <x v="1"/>
    <x v="2"/>
    <x v="0"/>
    <n v="90"/>
    <n v="4.99"/>
    <n v="449.1"/>
  </r>
  <r>
    <x v="8"/>
    <x v="2"/>
    <x v="6"/>
    <x v="0"/>
    <n v="32"/>
    <n v="1.99"/>
    <n v="63.68"/>
  </r>
  <r>
    <x v="9"/>
    <x v="0"/>
    <x v="0"/>
    <x v="1"/>
    <n v="60"/>
    <n v="8.99"/>
    <n v="539.4"/>
  </r>
  <r>
    <x v="10"/>
    <x v="1"/>
    <x v="7"/>
    <x v="0"/>
    <n v="90"/>
    <n v="4.99"/>
    <n v="449.1"/>
  </r>
  <r>
    <x v="11"/>
    <x v="0"/>
    <x v="8"/>
    <x v="1"/>
    <n v="29"/>
    <n v="1.99"/>
    <n v="57.71"/>
  </r>
  <r>
    <x v="12"/>
    <x v="0"/>
    <x v="9"/>
    <x v="1"/>
    <n v="81"/>
    <n v="19.989999999999998"/>
    <n v="1619.19"/>
  </r>
  <r>
    <x v="13"/>
    <x v="0"/>
    <x v="0"/>
    <x v="0"/>
    <n v="35"/>
    <n v="4.99"/>
    <n v="174.65"/>
  </r>
  <r>
    <x v="14"/>
    <x v="1"/>
    <x v="10"/>
    <x v="3"/>
    <n v="2"/>
    <n v="125"/>
    <n v="250"/>
  </r>
  <r>
    <x v="15"/>
    <x v="0"/>
    <x v="0"/>
    <x v="4"/>
    <n v="16"/>
    <n v="15.99"/>
    <n v="255.84"/>
  </r>
  <r>
    <x v="16"/>
    <x v="1"/>
    <x v="7"/>
    <x v="1"/>
    <n v="28"/>
    <n v="8.99"/>
    <n v="251.72"/>
  </r>
  <r>
    <x v="17"/>
    <x v="0"/>
    <x v="0"/>
    <x v="2"/>
    <n v="64"/>
    <n v="8.99"/>
    <n v="575.36"/>
  </r>
  <r>
    <x v="18"/>
    <x v="0"/>
    <x v="9"/>
    <x v="2"/>
    <n v="15"/>
    <n v="19.989999999999998"/>
    <n v="299.85000000000002"/>
  </r>
  <r>
    <x v="19"/>
    <x v="1"/>
    <x v="1"/>
    <x v="4"/>
    <n v="96"/>
    <n v="4.99"/>
    <n v="479.04"/>
  </r>
  <r>
    <x v="20"/>
    <x v="1"/>
    <x v="10"/>
    <x v="0"/>
    <n v="67"/>
    <n v="1.29"/>
    <n v="86.43"/>
  </r>
  <r>
    <x v="21"/>
    <x v="0"/>
    <x v="9"/>
    <x v="4"/>
    <n v="74"/>
    <n v="15.99"/>
    <n v="1183.26"/>
  </r>
  <r>
    <x v="22"/>
    <x v="1"/>
    <x v="3"/>
    <x v="1"/>
    <n v="46"/>
    <n v="8.99"/>
    <n v="413.54"/>
  </r>
  <r>
    <x v="23"/>
    <x v="1"/>
    <x v="10"/>
    <x v="1"/>
    <n v="87"/>
    <n v="15"/>
    <n v="1305"/>
  </r>
  <r>
    <x v="24"/>
    <x v="0"/>
    <x v="0"/>
    <x v="1"/>
    <n v="4"/>
    <n v="4.99"/>
    <n v="19.96"/>
  </r>
  <r>
    <x v="25"/>
    <x v="2"/>
    <x v="4"/>
    <x v="1"/>
    <n v="7"/>
    <n v="19.989999999999998"/>
    <n v="139.93"/>
  </r>
  <r>
    <x v="26"/>
    <x v="1"/>
    <x v="2"/>
    <x v="4"/>
    <n v="50"/>
    <n v="4.99"/>
    <n v="249.5"/>
  </r>
  <r>
    <x v="27"/>
    <x v="1"/>
    <x v="5"/>
    <x v="0"/>
    <n v="66"/>
    <n v="1.99"/>
    <n v="131.34"/>
  </r>
  <r>
    <x v="28"/>
    <x v="0"/>
    <x v="8"/>
    <x v="2"/>
    <n v="96"/>
    <n v="4.99"/>
    <n v="479.04"/>
  </r>
  <r>
    <x v="29"/>
    <x v="1"/>
    <x v="3"/>
    <x v="0"/>
    <n v="53"/>
    <n v="1.29"/>
    <n v="68.37"/>
  </r>
  <r>
    <x v="30"/>
    <x v="1"/>
    <x v="3"/>
    <x v="1"/>
    <n v="80"/>
    <n v="8.99"/>
    <n v="719.2"/>
  </r>
  <r>
    <x v="31"/>
    <x v="1"/>
    <x v="1"/>
    <x v="3"/>
    <n v="5"/>
    <n v="125"/>
    <n v="625"/>
  </r>
  <r>
    <x v="32"/>
    <x v="0"/>
    <x v="0"/>
    <x v="4"/>
    <n v="62"/>
    <n v="4.99"/>
    <n v="309.38"/>
  </r>
  <r>
    <x v="33"/>
    <x v="1"/>
    <x v="7"/>
    <x v="4"/>
    <n v="55"/>
    <n v="12.49"/>
    <n v="686.95"/>
  </r>
  <r>
    <x v="34"/>
    <x v="1"/>
    <x v="1"/>
    <x v="4"/>
    <n v="42"/>
    <n v="23.95"/>
    <n v="1005.9"/>
  </r>
  <r>
    <x v="35"/>
    <x v="2"/>
    <x v="4"/>
    <x v="3"/>
    <n v="3"/>
    <n v="275"/>
    <n v="825"/>
  </r>
  <r>
    <x v="36"/>
    <x v="1"/>
    <x v="3"/>
    <x v="0"/>
    <n v="7"/>
    <n v="1.29"/>
    <n v="9.0299999999999994"/>
  </r>
  <r>
    <x v="37"/>
    <x v="2"/>
    <x v="4"/>
    <x v="2"/>
    <n v="76"/>
    <n v="1.99"/>
    <n v="151.24"/>
  </r>
  <r>
    <x v="38"/>
    <x v="2"/>
    <x v="6"/>
    <x v="1"/>
    <n v="57"/>
    <n v="19.989999999999998"/>
    <n v="1139.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5FE7EB-BC28-46E3-A94B-EA1F7AFFA0D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7">
    <pivotField showAll="0"/>
    <pivotField axis="axisRow" showAll="0">
      <items count="4">
        <item x="1"/>
        <item x="0"/>
        <item x="2"/>
        <item t="default"/>
      </items>
    </pivotField>
    <pivotField showAll="0"/>
    <pivotField showAll="0"/>
    <pivotField showAll="0"/>
    <pivotField showAll="0"/>
    <pivotField dataField="1" showAll="0"/>
  </pivotFields>
  <rowFields count="1">
    <field x="1"/>
  </rowFields>
  <rowItems count="4">
    <i>
      <x/>
    </i>
    <i>
      <x v="1"/>
    </i>
    <i>
      <x v="2"/>
    </i>
    <i t="grand">
      <x/>
    </i>
  </rowItems>
  <colItems count="1">
    <i/>
  </colItems>
  <dataFields count="1">
    <dataField name="Sum of Total" fld="6" showDataAs="percentOfTotal"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A1DE5D-2913-4171-8DBB-3D4A45439D88}" name="PivotTable4"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11" firstHeaderRow="1" firstDataRow="2" firstDataCol="1"/>
  <pivotFields count="7">
    <pivotField compact="0" outline="0" showAll="0">
      <items count="40">
        <item x="38"/>
        <item x="17"/>
        <item x="19"/>
        <item x="22"/>
        <item x="21"/>
        <item x="1"/>
        <item x="24"/>
        <item x="3"/>
        <item x="4"/>
        <item x="26"/>
        <item x="6"/>
        <item x="28"/>
        <item x="29"/>
        <item x="8"/>
        <item x="30"/>
        <item x="31"/>
        <item x="10"/>
        <item x="33"/>
        <item x="12"/>
        <item x="13"/>
        <item x="35"/>
        <item x="15"/>
        <item x="37"/>
        <item x="5"/>
        <item x="14"/>
        <item x="7"/>
        <item x="16"/>
        <item x="0"/>
        <item x="9"/>
        <item x="18"/>
        <item x="2"/>
        <item x="11"/>
        <item x="20"/>
        <item x="23"/>
        <item x="32"/>
        <item x="25"/>
        <item x="34"/>
        <item x="27"/>
        <item x="36"/>
        <item t="default"/>
      </items>
    </pivotField>
    <pivotField compact="0" outline="0" showAll="0">
      <items count="4">
        <item x="1"/>
        <item h="1" x="0"/>
        <item h="1" x="2"/>
        <item t="default"/>
      </items>
    </pivotField>
    <pivotField axis="axisRow" compact="0" outline="0" showAll="0">
      <items count="12">
        <item x="5"/>
        <item x="3"/>
        <item x="8"/>
        <item x="2"/>
        <item x="0"/>
        <item x="1"/>
        <item x="7"/>
        <item x="9"/>
        <item x="10"/>
        <item x="4"/>
        <item x="6"/>
        <item t="default"/>
      </items>
    </pivotField>
    <pivotField axis="axisCol" compact="0" outline="0" showAll="0">
      <items count="6">
        <item h="1" x="1"/>
        <item h="1" x="3"/>
        <item x="2"/>
        <item x="4"/>
        <item x="0"/>
        <item t="default"/>
      </items>
    </pivotField>
    <pivotField compact="0" outline="0" showAll="0"/>
    <pivotField compact="0" outline="0" showAll="0"/>
    <pivotField dataField="1" compact="0" outline="0" showAll="0"/>
  </pivotFields>
  <rowFields count="1">
    <field x="2"/>
  </rowFields>
  <rowItems count="7">
    <i>
      <x/>
    </i>
    <i>
      <x v="1"/>
    </i>
    <i>
      <x v="3"/>
    </i>
    <i>
      <x v="5"/>
    </i>
    <i>
      <x v="6"/>
    </i>
    <i>
      <x v="8"/>
    </i>
    <i t="grand">
      <x/>
    </i>
  </rowItems>
  <colFields count="1">
    <field x="3"/>
  </colFields>
  <colItems count="4">
    <i>
      <x v="2"/>
    </i>
    <i>
      <x v="3"/>
    </i>
    <i>
      <x v="4"/>
    </i>
    <i t="grand">
      <x/>
    </i>
  </colItems>
  <dataFields count="1">
    <dataField name="Sum of Total"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07F593-299F-4C86-9A0C-82D7C2A6C397}" name="PivotTable2" cacheId="3"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Q1:T12" firstHeaderRow="0" firstDataRow="1" firstDataCol="2"/>
  <pivotFields count="7">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1"/>
        <item x="0"/>
        <item x="2"/>
      </items>
      <extLst>
        <ext xmlns:x14="http://schemas.microsoft.com/office/spreadsheetml/2009/9/main" uri="{2946ED86-A175-432a-8AC1-64E0C546D7DE}">
          <x14:pivotField fillDownLabels="1"/>
        </ext>
      </extLst>
    </pivotField>
    <pivotField axis="axisRow" dataField="1" compact="0" outline="0" showAll="0" defaultSubtotal="0">
      <items count="11">
        <item x="5"/>
        <item x="3"/>
        <item x="8"/>
        <item x="2"/>
        <item x="0"/>
        <item x="1"/>
        <item x="7"/>
        <item x="9"/>
        <item x="10"/>
        <item x="4"/>
        <item x="6"/>
      </items>
      <extLst>
        <ext xmlns:x14="http://schemas.microsoft.com/office/spreadsheetml/2009/9/main" uri="{2946ED86-A175-432a-8AC1-64E0C546D7DE}">
          <x14:pivotField fillDownLabels="1"/>
        </ext>
      </extLst>
    </pivotField>
    <pivotField compact="0" outline="0" showAll="0" defaultSubtotal="0">
      <items count="5">
        <item x="1"/>
        <item x="3"/>
        <item x="2"/>
        <item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2"/>
    <field x="1"/>
  </rowFields>
  <rowItems count="11">
    <i>
      <x/>
      <x/>
    </i>
    <i>
      <x v="1"/>
      <x/>
    </i>
    <i>
      <x v="2"/>
      <x v="1"/>
    </i>
    <i>
      <x v="3"/>
      <x/>
    </i>
    <i>
      <x v="4"/>
      <x v="1"/>
    </i>
    <i>
      <x v="5"/>
      <x/>
    </i>
    <i>
      <x v="6"/>
      <x/>
    </i>
    <i>
      <x v="7"/>
      <x v="1"/>
    </i>
    <i>
      <x v="8"/>
      <x/>
    </i>
    <i>
      <x v="9"/>
      <x v="2"/>
    </i>
    <i>
      <x v="10"/>
      <x v="2"/>
    </i>
  </rowItems>
  <colFields count="1">
    <field x="-2"/>
  </colFields>
  <colItems count="2">
    <i>
      <x/>
    </i>
    <i i="1">
      <x v="1"/>
    </i>
  </colItems>
  <dataFields count="2">
    <dataField name="Count of Rep" fld="2" subtotal="count" baseField="0" baseItem="0"/>
    <dataField name="Count of Reg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6E5F4F-ED05-4285-9646-C6FC422181DE}" name="PivotTable1" cacheId="3" applyNumberFormats="0" applyBorderFormats="0" applyFontFormats="0" applyPatternFormats="0" applyAlignmentFormats="0" applyWidthHeightFormats="1" dataCaption="Values" updatedVersion="8" minRefreshableVersion="3" showDrill="0" useAutoFormatting="1" colGrandTotals="0" itemPrintTitles="1" createdVersion="8" indent="0" compact="0" compactData="0" multipleFieldFilters="0" chartFormat="2">
  <location ref="J1:N33" firstHeaderRow="1" firstDataRow="2" firstDataCol="2"/>
  <pivotFields count="7">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3">
        <item x="1"/>
        <item x="0"/>
        <item x="2"/>
      </items>
      <extLst>
        <ext xmlns:x14="http://schemas.microsoft.com/office/spreadsheetml/2009/9/main" uri="{2946ED86-A175-432a-8AC1-64E0C546D7DE}">
          <x14:pivotField fillDownLabels="1"/>
        </ext>
      </extLst>
    </pivotField>
    <pivotField axis="axisRow" compact="0" outline="0" showAll="0" defaultSubtotal="0">
      <items count="11">
        <item x="5"/>
        <item x="3"/>
        <item x="8"/>
        <item x="2"/>
        <item x="0"/>
        <item x="1"/>
        <item x="7"/>
        <item x="9"/>
        <item x="10"/>
        <item x="4"/>
        <item x="6"/>
      </items>
      <extLst>
        <ext xmlns:x14="http://schemas.microsoft.com/office/spreadsheetml/2009/9/main" uri="{2946ED86-A175-432a-8AC1-64E0C546D7DE}">
          <x14:pivotField fillDownLabels="1"/>
        </ext>
      </extLst>
    </pivotField>
    <pivotField axis="axisRow" compact="0" outline="0" showAll="0" defaultSubtotal="0">
      <items count="5">
        <item x="1"/>
        <item x="3"/>
        <item x="2"/>
        <item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3"/>
    <field x="2"/>
  </rowFields>
  <rowItems count="31">
    <i>
      <x/>
      <x v="1"/>
    </i>
    <i r="1">
      <x v="2"/>
    </i>
    <i r="1">
      <x v="4"/>
    </i>
    <i r="1">
      <x v="5"/>
    </i>
    <i r="1">
      <x v="6"/>
    </i>
    <i r="1">
      <x v="7"/>
    </i>
    <i r="1">
      <x v="8"/>
    </i>
    <i r="1">
      <x v="9"/>
    </i>
    <i r="1">
      <x v="10"/>
    </i>
    <i>
      <x v="1"/>
      <x v="5"/>
    </i>
    <i r="1">
      <x v="8"/>
    </i>
    <i r="1">
      <x v="9"/>
    </i>
    <i>
      <x v="2"/>
      <x v="1"/>
    </i>
    <i r="1">
      <x v="2"/>
    </i>
    <i r="1">
      <x v="4"/>
    </i>
    <i r="1">
      <x v="7"/>
    </i>
    <i r="1">
      <x v="9"/>
    </i>
    <i>
      <x v="3"/>
      <x v="3"/>
    </i>
    <i r="1">
      <x v="4"/>
    </i>
    <i r="1">
      <x v="5"/>
    </i>
    <i r="1">
      <x v="6"/>
    </i>
    <i r="1">
      <x v="7"/>
    </i>
    <i>
      <x v="4"/>
      <x/>
    </i>
    <i r="1">
      <x v="1"/>
    </i>
    <i r="1">
      <x v="3"/>
    </i>
    <i r="1">
      <x v="4"/>
    </i>
    <i r="1">
      <x v="6"/>
    </i>
    <i r="1">
      <x v="8"/>
    </i>
    <i r="1">
      <x v="9"/>
    </i>
    <i r="1">
      <x v="10"/>
    </i>
    <i t="grand">
      <x/>
    </i>
  </rowItems>
  <colFields count="1">
    <field x="1"/>
  </colFields>
  <colItems count="3">
    <i>
      <x/>
    </i>
    <i>
      <x v="1"/>
    </i>
    <i>
      <x v="2"/>
    </i>
  </colItems>
  <dataFields count="1">
    <dataField name="Sum of Total" fld="6"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A74669-062A-436C-9A87-2E04276A3693}" sourceName="Region">
  <pivotTables>
    <pivotTable tabId="3" name="PivotTable4"/>
  </pivotTables>
  <data>
    <tabular pivotCacheId="1529419935">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07B5C79-E5FA-4C75-8041-769B1766175A}" sourceName="Item">
  <pivotTables>
    <pivotTable tabId="3" name="PivotTable4"/>
  </pivotTables>
  <data>
    <tabular pivotCacheId="1529419935">
      <items count="5">
        <i x="1"/>
        <i x="3"/>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F9B9EFE-73A8-4F4D-B306-031C8869AF2E}" cache="Slicer_Region" caption="Region" rowHeight="234950"/>
  <slicer name="Item" xr10:uid="{0203D37A-E9D8-4116-AC18-EDD9FFE1DC80}" cache="Slicer_Item" caption="Ite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E131F1-66DB-46DD-B74F-33CB274402D4}" name="Table1" displayName="Table1" ref="A1:G40" totalsRowShown="0">
  <autoFilter ref="A1:G40" xr:uid="{EAE131F1-66DB-46DD-B74F-33CB274402D4}"/>
  <tableColumns count="7">
    <tableColumn id="1" xr3:uid="{4D6546B7-BE05-4B2B-A38A-BB950934098C}" name="OrderDate" dataDxfId="0"/>
    <tableColumn id="2" xr3:uid="{7E4011A0-993C-4D91-A396-9C61F8BD8134}" name="Region"/>
    <tableColumn id="3" xr3:uid="{40B100AC-7DC8-485A-A98F-CA179E859CBD}" name="Rep"/>
    <tableColumn id="4" xr3:uid="{8525536D-698F-48B7-947D-1F054DD76852}" name="Item"/>
    <tableColumn id="5" xr3:uid="{3FB08160-9708-455C-A12B-78D7C54421E9}" name="Units"/>
    <tableColumn id="6" xr3:uid="{61B9018D-3047-465C-9C6F-6F0B43C6A6D0}" name="UnitCost"/>
    <tableColumn id="7" xr3:uid="{B4D96838-6407-446E-AC95-3543B8837F9B}" name="Total"/>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840F4-D5E1-4311-A499-C9B520B1802B}">
  <dimension ref="A3:B7"/>
  <sheetViews>
    <sheetView workbookViewId="0">
      <selection activeCell="J7" sqref="J7"/>
    </sheetView>
  </sheetViews>
  <sheetFormatPr defaultRowHeight="14.4" x14ac:dyDescent="0.3"/>
  <cols>
    <col min="1" max="1" width="12.5546875" bestFit="1" customWidth="1"/>
    <col min="2" max="2" width="11.6640625" bestFit="1" customWidth="1"/>
  </cols>
  <sheetData>
    <row r="3" spans="1:2" x14ac:dyDescent="0.3">
      <c r="A3" s="3" t="s">
        <v>53</v>
      </c>
      <c r="B3" t="s">
        <v>50</v>
      </c>
    </row>
    <row r="4" spans="1:2" x14ac:dyDescent="0.3">
      <c r="A4" s="4" t="s">
        <v>10</v>
      </c>
      <c r="B4" s="6">
        <v>0.51592510328663932</v>
      </c>
    </row>
    <row r="5" spans="1:2" x14ac:dyDescent="0.3">
      <c r="A5" s="4" t="s">
        <v>7</v>
      </c>
      <c r="B5" s="6">
        <v>0.34226954034950657</v>
      </c>
    </row>
    <row r="6" spans="1:2" x14ac:dyDescent="0.3">
      <c r="A6" s="4" t="s">
        <v>16</v>
      </c>
      <c r="B6" s="6">
        <v>0.14180535636385411</v>
      </c>
    </row>
    <row r="7" spans="1:2" x14ac:dyDescent="0.3">
      <c r="A7" s="4" t="s">
        <v>49</v>
      </c>
      <c r="B7" s="6">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4B28D-8C22-419B-8602-DCBC3265097F}">
  <dimension ref="A3:E11"/>
  <sheetViews>
    <sheetView tabSelected="1" workbookViewId="0">
      <selection activeCell="E10" sqref="E10"/>
    </sheetView>
  </sheetViews>
  <sheetFormatPr defaultRowHeight="14.4" x14ac:dyDescent="0.3"/>
  <cols>
    <col min="1" max="1" width="11.6640625" bestFit="1" customWidth="1"/>
    <col min="2" max="4" width="8" bestFit="1" customWidth="1"/>
    <col min="5" max="7" width="10.77734375" bestFit="1" customWidth="1"/>
    <col min="8" max="39" width="15.5546875" bestFit="1" customWidth="1"/>
    <col min="40" max="40" width="10.77734375" bestFit="1" customWidth="1"/>
  </cols>
  <sheetData>
    <row r="3" spans="1:5" x14ac:dyDescent="0.3">
      <c r="A3" s="3" t="s">
        <v>50</v>
      </c>
      <c r="B3" s="3" t="s">
        <v>3</v>
      </c>
    </row>
    <row r="4" spans="1:5" x14ac:dyDescent="0.3">
      <c r="A4" s="3" t="s">
        <v>2</v>
      </c>
      <c r="B4" t="s">
        <v>15</v>
      </c>
      <c r="C4" t="s">
        <v>25</v>
      </c>
      <c r="D4" t="s">
        <v>9</v>
      </c>
      <c r="E4" t="s">
        <v>49</v>
      </c>
    </row>
    <row r="5" spans="1:5" x14ac:dyDescent="0.3">
      <c r="A5" t="s">
        <v>18</v>
      </c>
      <c r="B5" s="5"/>
      <c r="C5" s="5"/>
      <c r="D5" s="5">
        <v>280.59000000000003</v>
      </c>
      <c r="E5" s="5">
        <v>280.59000000000003</v>
      </c>
    </row>
    <row r="6" spans="1:5" x14ac:dyDescent="0.3">
      <c r="A6" t="s">
        <v>14</v>
      </c>
      <c r="B6" s="5">
        <v>539.73</v>
      </c>
      <c r="C6" s="5"/>
      <c r="D6" s="5">
        <v>77.400000000000006</v>
      </c>
      <c r="E6" s="5">
        <v>617.13</v>
      </c>
    </row>
    <row r="7" spans="1:5" x14ac:dyDescent="0.3">
      <c r="A7" t="s">
        <v>13</v>
      </c>
      <c r="B7" s="5"/>
      <c r="C7" s="5">
        <v>249.5</v>
      </c>
      <c r="D7" s="5">
        <v>628.74</v>
      </c>
      <c r="E7" s="5">
        <v>878.24</v>
      </c>
    </row>
    <row r="8" spans="1:5" x14ac:dyDescent="0.3">
      <c r="A8" t="s">
        <v>11</v>
      </c>
      <c r="B8" s="5"/>
      <c r="C8" s="5">
        <v>1484.94</v>
      </c>
      <c r="D8" s="5"/>
      <c r="E8" s="5">
        <v>1484.94</v>
      </c>
    </row>
    <row r="9" spans="1:5" x14ac:dyDescent="0.3">
      <c r="A9" t="s">
        <v>20</v>
      </c>
      <c r="B9" s="5"/>
      <c r="C9" s="5">
        <v>686.95</v>
      </c>
      <c r="D9" s="5">
        <v>449.1</v>
      </c>
      <c r="E9" s="5">
        <v>1136.0500000000002</v>
      </c>
    </row>
    <row r="10" spans="1:5" x14ac:dyDescent="0.3">
      <c r="A10" t="s">
        <v>23</v>
      </c>
      <c r="B10" s="5"/>
      <c r="C10" s="5"/>
      <c r="D10" s="5">
        <v>86.43</v>
      </c>
      <c r="E10" s="5">
        <v>86.43</v>
      </c>
    </row>
    <row r="11" spans="1:5" x14ac:dyDescent="0.3">
      <c r="A11" t="s">
        <v>49</v>
      </c>
      <c r="B11" s="5">
        <v>539.73</v>
      </c>
      <c r="C11" s="5">
        <v>2421.3900000000003</v>
      </c>
      <c r="D11" s="5">
        <v>1522.26</v>
      </c>
      <c r="E11" s="5">
        <v>4483.380000000001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A203B-98B8-46DA-9A68-243CA19CE591}">
  <dimension ref="A1:T40"/>
  <sheetViews>
    <sheetView workbookViewId="0">
      <selection activeCell="F14" sqref="F14"/>
    </sheetView>
  </sheetViews>
  <sheetFormatPr defaultRowHeight="14.4" x14ac:dyDescent="0.3"/>
  <cols>
    <col min="1" max="1" width="11.5546875" style="2" customWidth="1"/>
    <col min="2" max="2" width="8.6640625" customWidth="1"/>
    <col min="3" max="3" width="9.5546875" bestFit="1" customWidth="1"/>
    <col min="4" max="4" width="7" bestFit="1" customWidth="1"/>
    <col min="5" max="5" width="7.21875" customWidth="1"/>
    <col min="6" max="6" width="10.109375" customWidth="1"/>
    <col min="7" max="7" width="8" bestFit="1" customWidth="1"/>
    <col min="10" max="10" width="13.5546875" bestFit="1" customWidth="1"/>
    <col min="11" max="11" width="9.5546875" bestFit="1" customWidth="1"/>
    <col min="12" max="12" width="9" bestFit="1" customWidth="1"/>
    <col min="13" max="14" width="8" bestFit="1" customWidth="1"/>
    <col min="15" max="16" width="10.77734375" bestFit="1" customWidth="1"/>
    <col min="17" max="17" width="12.5546875" bestFit="1" customWidth="1"/>
    <col min="18" max="18" width="9" bestFit="1" customWidth="1"/>
    <col min="19" max="19" width="12" bestFit="1" customWidth="1"/>
    <col min="20" max="20" width="14.6640625" bestFit="1" customWidth="1"/>
    <col min="21" max="22" width="12.6640625" bestFit="1" customWidth="1"/>
  </cols>
  <sheetData>
    <row r="1" spans="1:20" x14ac:dyDescent="0.3">
      <c r="A1" s="2" t="s">
        <v>0</v>
      </c>
      <c r="B1" t="s">
        <v>1</v>
      </c>
      <c r="C1" t="s">
        <v>2</v>
      </c>
      <c r="D1" t="s">
        <v>3</v>
      </c>
      <c r="E1" t="s">
        <v>4</v>
      </c>
      <c r="F1" t="s">
        <v>5</v>
      </c>
      <c r="G1" t="s">
        <v>6</v>
      </c>
      <c r="J1" s="3" t="s">
        <v>50</v>
      </c>
      <c r="L1" s="3" t="s">
        <v>1</v>
      </c>
      <c r="Q1" s="3" t="s">
        <v>2</v>
      </c>
      <c r="R1" s="3" t="s">
        <v>1</v>
      </c>
      <c r="S1" t="s">
        <v>52</v>
      </c>
      <c r="T1" t="s">
        <v>51</v>
      </c>
    </row>
    <row r="2" spans="1:20" x14ac:dyDescent="0.3">
      <c r="A2" s="2">
        <v>43983</v>
      </c>
      <c r="B2" t="s">
        <v>7</v>
      </c>
      <c r="C2" t="s">
        <v>8</v>
      </c>
      <c r="D2" t="s">
        <v>9</v>
      </c>
      <c r="E2">
        <v>95</v>
      </c>
      <c r="F2">
        <v>1.99</v>
      </c>
      <c r="G2">
        <v>189.05</v>
      </c>
      <c r="J2" s="3" t="s">
        <v>3</v>
      </c>
      <c r="K2" s="3" t="s">
        <v>2</v>
      </c>
      <c r="L2" t="s">
        <v>10</v>
      </c>
      <c r="M2" t="s">
        <v>7</v>
      </c>
      <c r="N2" t="s">
        <v>16</v>
      </c>
      <c r="Q2" t="s">
        <v>18</v>
      </c>
      <c r="R2" t="s">
        <v>10</v>
      </c>
      <c r="S2">
        <v>2</v>
      </c>
      <c r="T2">
        <v>2</v>
      </c>
    </row>
    <row r="3" spans="1:20" x14ac:dyDescent="0.3">
      <c r="A3" s="2" t="s">
        <v>26</v>
      </c>
      <c r="B3" t="s">
        <v>10</v>
      </c>
      <c r="C3" t="s">
        <v>11</v>
      </c>
      <c r="D3" t="s">
        <v>12</v>
      </c>
      <c r="E3">
        <v>50</v>
      </c>
      <c r="F3">
        <v>19.989999999999998</v>
      </c>
      <c r="G3">
        <v>999.5</v>
      </c>
      <c r="J3" t="s">
        <v>12</v>
      </c>
      <c r="K3" t="s">
        <v>14</v>
      </c>
      <c r="L3">
        <v>1132.74</v>
      </c>
      <c r="Q3" t="s">
        <v>14</v>
      </c>
      <c r="R3" t="s">
        <v>10</v>
      </c>
      <c r="S3">
        <v>5</v>
      </c>
      <c r="T3">
        <v>5</v>
      </c>
    </row>
    <row r="4" spans="1:20" x14ac:dyDescent="0.3">
      <c r="A4" s="2">
        <v>44076</v>
      </c>
      <c r="B4" t="s">
        <v>10</v>
      </c>
      <c r="C4" t="s">
        <v>13</v>
      </c>
      <c r="D4" t="s">
        <v>9</v>
      </c>
      <c r="E4">
        <v>36</v>
      </c>
      <c r="F4">
        <v>4.99</v>
      </c>
      <c r="G4">
        <v>179.64</v>
      </c>
      <c r="J4" t="s">
        <v>12</v>
      </c>
      <c r="K4" t="s">
        <v>21</v>
      </c>
      <c r="M4">
        <v>57.71</v>
      </c>
      <c r="Q4" t="s">
        <v>21</v>
      </c>
      <c r="R4" t="s">
        <v>7</v>
      </c>
      <c r="S4">
        <v>2</v>
      </c>
      <c r="T4">
        <v>2</v>
      </c>
    </row>
    <row r="5" spans="1:20" x14ac:dyDescent="0.3">
      <c r="A5" s="2" t="s">
        <v>27</v>
      </c>
      <c r="B5" t="s">
        <v>10</v>
      </c>
      <c r="C5" t="s">
        <v>14</v>
      </c>
      <c r="D5" t="s">
        <v>15</v>
      </c>
      <c r="E5">
        <v>27</v>
      </c>
      <c r="F5">
        <v>19.989999999999998</v>
      </c>
      <c r="G5">
        <v>539.73</v>
      </c>
      <c r="J5" t="s">
        <v>12</v>
      </c>
      <c r="K5" t="s">
        <v>8</v>
      </c>
      <c r="M5">
        <v>858.76</v>
      </c>
      <c r="Q5" t="s">
        <v>13</v>
      </c>
      <c r="R5" t="s">
        <v>10</v>
      </c>
      <c r="S5">
        <v>3</v>
      </c>
      <c r="T5">
        <v>3</v>
      </c>
    </row>
    <row r="6" spans="1:20" x14ac:dyDescent="0.3">
      <c r="A6" s="2" t="s">
        <v>28</v>
      </c>
      <c r="B6" t="s">
        <v>16</v>
      </c>
      <c r="C6" t="s">
        <v>17</v>
      </c>
      <c r="D6" t="s">
        <v>9</v>
      </c>
      <c r="E6">
        <v>56</v>
      </c>
      <c r="F6">
        <v>2.99</v>
      </c>
      <c r="G6">
        <v>167.44</v>
      </c>
      <c r="J6" t="s">
        <v>12</v>
      </c>
      <c r="K6" t="s">
        <v>11</v>
      </c>
      <c r="L6">
        <v>999.5</v>
      </c>
      <c r="Q6" t="s">
        <v>8</v>
      </c>
      <c r="R6" t="s">
        <v>7</v>
      </c>
      <c r="S6">
        <v>8</v>
      </c>
      <c r="T6">
        <v>8</v>
      </c>
    </row>
    <row r="7" spans="1:20" x14ac:dyDescent="0.3">
      <c r="A7" s="2">
        <v>43834</v>
      </c>
      <c r="B7" t="s">
        <v>7</v>
      </c>
      <c r="C7" t="s">
        <v>8</v>
      </c>
      <c r="D7" t="s">
        <v>12</v>
      </c>
      <c r="E7">
        <v>60</v>
      </c>
      <c r="F7">
        <v>4.99</v>
      </c>
      <c r="G7">
        <v>299.39999999999998</v>
      </c>
      <c r="J7" t="s">
        <v>12</v>
      </c>
      <c r="K7" t="s">
        <v>20</v>
      </c>
      <c r="L7">
        <v>251.72</v>
      </c>
      <c r="Q7" t="s">
        <v>11</v>
      </c>
      <c r="R7" t="s">
        <v>10</v>
      </c>
      <c r="S7">
        <v>4</v>
      </c>
      <c r="T7">
        <v>4</v>
      </c>
    </row>
    <row r="8" spans="1:20" x14ac:dyDescent="0.3">
      <c r="A8" s="2" t="s">
        <v>29</v>
      </c>
      <c r="B8" t="s">
        <v>10</v>
      </c>
      <c r="C8" t="s">
        <v>18</v>
      </c>
      <c r="D8" t="s">
        <v>9</v>
      </c>
      <c r="E8">
        <v>75</v>
      </c>
      <c r="F8">
        <v>1.99</v>
      </c>
      <c r="G8">
        <v>149.25</v>
      </c>
      <c r="J8" t="s">
        <v>12</v>
      </c>
      <c r="K8" t="s">
        <v>22</v>
      </c>
      <c r="M8">
        <v>1619.19</v>
      </c>
      <c r="Q8" t="s">
        <v>20</v>
      </c>
      <c r="R8" t="s">
        <v>10</v>
      </c>
      <c r="S8">
        <v>3</v>
      </c>
      <c r="T8">
        <v>3</v>
      </c>
    </row>
    <row r="9" spans="1:20" x14ac:dyDescent="0.3">
      <c r="A9" s="2">
        <v>43956</v>
      </c>
      <c r="B9" t="s">
        <v>10</v>
      </c>
      <c r="C9" t="s">
        <v>13</v>
      </c>
      <c r="D9" t="s">
        <v>9</v>
      </c>
      <c r="E9">
        <v>90</v>
      </c>
      <c r="F9">
        <v>4.99</v>
      </c>
      <c r="G9">
        <v>449.1</v>
      </c>
      <c r="J9" t="s">
        <v>12</v>
      </c>
      <c r="K9" t="s">
        <v>23</v>
      </c>
      <c r="L9">
        <v>1305</v>
      </c>
      <c r="Q9" t="s">
        <v>22</v>
      </c>
      <c r="R9" t="s">
        <v>7</v>
      </c>
      <c r="S9">
        <v>3</v>
      </c>
      <c r="T9">
        <v>3</v>
      </c>
    </row>
    <row r="10" spans="1:20" x14ac:dyDescent="0.3">
      <c r="A10" s="2" t="s">
        <v>30</v>
      </c>
      <c r="B10" t="s">
        <v>16</v>
      </c>
      <c r="C10" t="s">
        <v>19</v>
      </c>
      <c r="D10" t="s">
        <v>9</v>
      </c>
      <c r="E10">
        <v>32</v>
      </c>
      <c r="F10">
        <v>1.99</v>
      </c>
      <c r="G10">
        <v>63.68</v>
      </c>
      <c r="J10" t="s">
        <v>12</v>
      </c>
      <c r="K10" t="s">
        <v>17</v>
      </c>
      <c r="N10">
        <v>139.93</v>
      </c>
      <c r="Q10" t="s">
        <v>23</v>
      </c>
      <c r="R10" t="s">
        <v>10</v>
      </c>
      <c r="S10">
        <v>3</v>
      </c>
      <c r="T10">
        <v>3</v>
      </c>
    </row>
    <row r="11" spans="1:20" x14ac:dyDescent="0.3">
      <c r="A11" s="2">
        <v>44049</v>
      </c>
      <c r="B11" t="s">
        <v>7</v>
      </c>
      <c r="C11" t="s">
        <v>8</v>
      </c>
      <c r="D11" t="s">
        <v>12</v>
      </c>
      <c r="E11">
        <v>60</v>
      </c>
      <c r="F11">
        <v>8.99</v>
      </c>
      <c r="G11">
        <v>539.4</v>
      </c>
      <c r="J11" t="s">
        <v>12</v>
      </c>
      <c r="K11" t="s">
        <v>19</v>
      </c>
      <c r="N11">
        <v>1139.43</v>
      </c>
      <c r="Q11" t="s">
        <v>17</v>
      </c>
      <c r="R11" t="s">
        <v>16</v>
      </c>
      <c r="S11">
        <v>4</v>
      </c>
      <c r="T11">
        <v>4</v>
      </c>
    </row>
    <row r="12" spans="1:20" x14ac:dyDescent="0.3">
      <c r="A12" s="2" t="s">
        <v>31</v>
      </c>
      <c r="B12" t="s">
        <v>10</v>
      </c>
      <c r="C12" t="s">
        <v>20</v>
      </c>
      <c r="D12" t="s">
        <v>9</v>
      </c>
      <c r="E12">
        <v>90</v>
      </c>
      <c r="F12">
        <v>4.99</v>
      </c>
      <c r="G12">
        <v>449.1</v>
      </c>
      <c r="J12" t="s">
        <v>24</v>
      </c>
      <c r="K12" t="s">
        <v>11</v>
      </c>
      <c r="L12">
        <v>625</v>
      </c>
      <c r="Q12" t="s">
        <v>19</v>
      </c>
      <c r="R12" t="s">
        <v>16</v>
      </c>
      <c r="S12">
        <v>2</v>
      </c>
      <c r="T12">
        <v>2</v>
      </c>
    </row>
    <row r="13" spans="1:20" x14ac:dyDescent="0.3">
      <c r="A13" s="2">
        <v>44172</v>
      </c>
      <c r="B13" t="s">
        <v>7</v>
      </c>
      <c r="C13" t="s">
        <v>21</v>
      </c>
      <c r="D13" t="s">
        <v>12</v>
      </c>
      <c r="E13">
        <v>29</v>
      </c>
      <c r="F13">
        <v>1.99</v>
      </c>
      <c r="G13">
        <v>57.71</v>
      </c>
      <c r="J13" t="s">
        <v>24</v>
      </c>
      <c r="K13" t="s">
        <v>23</v>
      </c>
      <c r="L13">
        <v>250</v>
      </c>
    </row>
    <row r="14" spans="1:20" x14ac:dyDescent="0.3">
      <c r="A14" s="2" t="s">
        <v>32</v>
      </c>
      <c r="B14" t="s">
        <v>7</v>
      </c>
      <c r="C14" t="s">
        <v>22</v>
      </c>
      <c r="D14" t="s">
        <v>12</v>
      </c>
      <c r="E14">
        <v>81</v>
      </c>
      <c r="F14">
        <v>19.989999999999998</v>
      </c>
      <c r="G14" s="1">
        <v>1619.19</v>
      </c>
      <c r="J14" t="s">
        <v>24</v>
      </c>
      <c r="K14" t="s">
        <v>17</v>
      </c>
      <c r="N14">
        <v>825</v>
      </c>
    </row>
    <row r="15" spans="1:20" x14ac:dyDescent="0.3">
      <c r="A15" s="2" t="s">
        <v>33</v>
      </c>
      <c r="B15" t="s">
        <v>7</v>
      </c>
      <c r="C15" t="s">
        <v>8</v>
      </c>
      <c r="D15" t="s">
        <v>9</v>
      </c>
      <c r="E15">
        <v>35</v>
      </c>
      <c r="F15">
        <v>4.99</v>
      </c>
      <c r="G15">
        <v>174.65</v>
      </c>
      <c r="J15" t="s">
        <v>15</v>
      </c>
      <c r="K15" t="s">
        <v>14</v>
      </c>
      <c r="L15">
        <v>539.73</v>
      </c>
    </row>
    <row r="16" spans="1:20" x14ac:dyDescent="0.3">
      <c r="A16" s="2">
        <v>43839</v>
      </c>
      <c r="B16" t="s">
        <v>10</v>
      </c>
      <c r="C16" t="s">
        <v>23</v>
      </c>
      <c r="D16" t="s">
        <v>24</v>
      </c>
      <c r="E16">
        <v>2</v>
      </c>
      <c r="F16">
        <v>125</v>
      </c>
      <c r="G16">
        <v>250</v>
      </c>
      <c r="J16" t="s">
        <v>15</v>
      </c>
      <c r="K16" t="s">
        <v>21</v>
      </c>
      <c r="M16">
        <v>479.04</v>
      </c>
    </row>
    <row r="17" spans="1:14" x14ac:dyDescent="0.3">
      <c r="A17" s="2" t="s">
        <v>34</v>
      </c>
      <c r="B17" t="s">
        <v>7</v>
      </c>
      <c r="C17" t="s">
        <v>8</v>
      </c>
      <c r="D17" t="s">
        <v>25</v>
      </c>
      <c r="E17">
        <v>16</v>
      </c>
      <c r="F17">
        <v>15.99</v>
      </c>
      <c r="G17">
        <v>255.84</v>
      </c>
      <c r="J17" t="s">
        <v>15</v>
      </c>
      <c r="K17" t="s">
        <v>8</v>
      </c>
      <c r="M17">
        <v>575.36</v>
      </c>
    </row>
    <row r="18" spans="1:14" x14ac:dyDescent="0.3">
      <c r="A18" s="2">
        <v>43961</v>
      </c>
      <c r="B18" t="s">
        <v>10</v>
      </c>
      <c r="C18" t="s">
        <v>20</v>
      </c>
      <c r="D18" t="s">
        <v>12</v>
      </c>
      <c r="E18">
        <v>28</v>
      </c>
      <c r="F18">
        <v>8.99</v>
      </c>
      <c r="G18">
        <v>251.72</v>
      </c>
      <c r="J18" t="s">
        <v>15</v>
      </c>
      <c r="K18" t="s">
        <v>22</v>
      </c>
      <c r="M18">
        <v>299.85000000000002</v>
      </c>
    </row>
    <row r="19" spans="1:14" x14ac:dyDescent="0.3">
      <c r="A19" s="2" t="s">
        <v>35</v>
      </c>
      <c r="B19" t="s">
        <v>7</v>
      </c>
      <c r="C19" t="s">
        <v>8</v>
      </c>
      <c r="D19" t="s">
        <v>15</v>
      </c>
      <c r="E19">
        <v>64</v>
      </c>
      <c r="F19">
        <v>8.99</v>
      </c>
      <c r="G19">
        <v>575.36</v>
      </c>
      <c r="J19" t="s">
        <v>15</v>
      </c>
      <c r="K19" t="s">
        <v>17</v>
      </c>
      <c r="N19">
        <v>151.24</v>
      </c>
    </row>
    <row r="20" spans="1:14" x14ac:dyDescent="0.3">
      <c r="A20" s="2">
        <v>44054</v>
      </c>
      <c r="B20" t="s">
        <v>7</v>
      </c>
      <c r="C20" t="s">
        <v>22</v>
      </c>
      <c r="D20" t="s">
        <v>15</v>
      </c>
      <c r="E20">
        <v>15</v>
      </c>
      <c r="F20">
        <v>19.989999999999998</v>
      </c>
      <c r="G20">
        <v>299.85000000000002</v>
      </c>
      <c r="J20" t="s">
        <v>25</v>
      </c>
      <c r="K20" t="s">
        <v>13</v>
      </c>
      <c r="L20">
        <v>249.5</v>
      </c>
    </row>
    <row r="21" spans="1:14" x14ac:dyDescent="0.3">
      <c r="A21" s="2" t="s">
        <v>36</v>
      </c>
      <c r="B21" t="s">
        <v>10</v>
      </c>
      <c r="C21" t="s">
        <v>11</v>
      </c>
      <c r="D21" t="s">
        <v>25</v>
      </c>
      <c r="E21">
        <v>96</v>
      </c>
      <c r="F21">
        <v>4.99</v>
      </c>
      <c r="G21">
        <v>479.04</v>
      </c>
      <c r="J21" t="s">
        <v>25</v>
      </c>
      <c r="K21" t="s">
        <v>8</v>
      </c>
      <c r="M21">
        <v>565.22</v>
      </c>
    </row>
    <row r="22" spans="1:14" x14ac:dyDescent="0.3">
      <c r="A22" s="2">
        <v>44177</v>
      </c>
      <c r="B22" t="s">
        <v>10</v>
      </c>
      <c r="C22" t="s">
        <v>23</v>
      </c>
      <c r="D22" t="s">
        <v>9</v>
      </c>
      <c r="E22">
        <v>67</v>
      </c>
      <c r="F22">
        <v>1.29</v>
      </c>
      <c r="G22">
        <v>86.43</v>
      </c>
      <c r="J22" t="s">
        <v>25</v>
      </c>
      <c r="K22" t="s">
        <v>11</v>
      </c>
      <c r="L22">
        <v>1484.94</v>
      </c>
    </row>
    <row r="23" spans="1:14" x14ac:dyDescent="0.3">
      <c r="A23" s="2" t="s">
        <v>37</v>
      </c>
      <c r="B23" t="s">
        <v>7</v>
      </c>
      <c r="C23" t="s">
        <v>22</v>
      </c>
      <c r="D23" t="s">
        <v>25</v>
      </c>
      <c r="E23">
        <v>74</v>
      </c>
      <c r="F23">
        <v>15.99</v>
      </c>
      <c r="G23" s="1">
        <v>1183.26</v>
      </c>
      <c r="J23" t="s">
        <v>25</v>
      </c>
      <c r="K23" t="s">
        <v>20</v>
      </c>
      <c r="L23">
        <v>686.95</v>
      </c>
    </row>
    <row r="24" spans="1:14" x14ac:dyDescent="0.3">
      <c r="A24" s="2" t="s">
        <v>38</v>
      </c>
      <c r="B24" t="s">
        <v>10</v>
      </c>
      <c r="C24" t="s">
        <v>14</v>
      </c>
      <c r="D24" t="s">
        <v>12</v>
      </c>
      <c r="E24">
        <v>46</v>
      </c>
      <c r="F24">
        <v>8.99</v>
      </c>
      <c r="G24">
        <v>413.54</v>
      </c>
      <c r="J24" t="s">
        <v>25</v>
      </c>
      <c r="K24" t="s">
        <v>22</v>
      </c>
      <c r="M24">
        <v>1183.26</v>
      </c>
    </row>
    <row r="25" spans="1:14" x14ac:dyDescent="0.3">
      <c r="A25" s="2">
        <v>44198</v>
      </c>
      <c r="B25" t="s">
        <v>10</v>
      </c>
      <c r="C25" t="s">
        <v>23</v>
      </c>
      <c r="D25" t="s">
        <v>12</v>
      </c>
      <c r="E25">
        <v>87</v>
      </c>
      <c r="F25">
        <v>15</v>
      </c>
      <c r="G25" s="1">
        <v>1305</v>
      </c>
      <c r="J25" t="s">
        <v>9</v>
      </c>
      <c r="K25" t="s">
        <v>18</v>
      </c>
      <c r="L25">
        <v>280.59000000000003</v>
      </c>
    </row>
    <row r="26" spans="1:14" x14ac:dyDescent="0.3">
      <c r="A26" s="2" t="s">
        <v>39</v>
      </c>
      <c r="B26" t="s">
        <v>7</v>
      </c>
      <c r="C26" t="s">
        <v>8</v>
      </c>
      <c r="D26" t="s">
        <v>12</v>
      </c>
      <c r="E26">
        <v>4</v>
      </c>
      <c r="F26">
        <v>4.99</v>
      </c>
      <c r="G26">
        <v>19.96</v>
      </c>
      <c r="J26" t="s">
        <v>9</v>
      </c>
      <c r="K26" t="s">
        <v>14</v>
      </c>
      <c r="L26">
        <v>77.400000000000006</v>
      </c>
    </row>
    <row r="27" spans="1:14" x14ac:dyDescent="0.3">
      <c r="A27" s="2">
        <v>44380</v>
      </c>
      <c r="B27" t="s">
        <v>16</v>
      </c>
      <c r="C27" t="s">
        <v>17</v>
      </c>
      <c r="D27" t="s">
        <v>12</v>
      </c>
      <c r="E27">
        <v>7</v>
      </c>
      <c r="F27">
        <v>19.989999999999998</v>
      </c>
      <c r="G27">
        <v>139.93</v>
      </c>
      <c r="J27" t="s">
        <v>9</v>
      </c>
      <c r="K27" t="s">
        <v>13</v>
      </c>
      <c r="L27">
        <v>628.74</v>
      </c>
    </row>
    <row r="28" spans="1:14" x14ac:dyDescent="0.3">
      <c r="A28" s="2" t="s">
        <v>40</v>
      </c>
      <c r="B28" t="s">
        <v>10</v>
      </c>
      <c r="C28" t="s">
        <v>13</v>
      </c>
      <c r="D28" t="s">
        <v>25</v>
      </c>
      <c r="E28">
        <v>50</v>
      </c>
      <c r="F28">
        <v>4.99</v>
      </c>
      <c r="G28">
        <v>249.5</v>
      </c>
      <c r="J28" t="s">
        <v>9</v>
      </c>
      <c r="K28" t="s">
        <v>8</v>
      </c>
      <c r="M28">
        <v>363.70000000000005</v>
      </c>
    </row>
    <row r="29" spans="1:14" x14ac:dyDescent="0.3">
      <c r="A29" s="2">
        <v>44473</v>
      </c>
      <c r="B29" t="s">
        <v>10</v>
      </c>
      <c r="C29" t="s">
        <v>18</v>
      </c>
      <c r="D29" t="s">
        <v>9</v>
      </c>
      <c r="E29">
        <v>66</v>
      </c>
      <c r="F29">
        <v>1.99</v>
      </c>
      <c r="G29">
        <v>131.34</v>
      </c>
      <c r="J29" t="s">
        <v>9</v>
      </c>
      <c r="K29" t="s">
        <v>20</v>
      </c>
      <c r="L29">
        <v>449.1</v>
      </c>
    </row>
    <row r="30" spans="1:14" x14ac:dyDescent="0.3">
      <c r="A30" s="2" t="s">
        <v>41</v>
      </c>
      <c r="B30" t="s">
        <v>7</v>
      </c>
      <c r="C30" t="s">
        <v>21</v>
      </c>
      <c r="D30" t="s">
        <v>15</v>
      </c>
      <c r="E30">
        <v>96</v>
      </c>
      <c r="F30">
        <v>4.99</v>
      </c>
      <c r="G30">
        <v>479.04</v>
      </c>
      <c r="J30" t="s">
        <v>9</v>
      </c>
      <c r="K30" t="s">
        <v>23</v>
      </c>
      <c r="L30">
        <v>86.43</v>
      </c>
    </row>
    <row r="31" spans="1:14" x14ac:dyDescent="0.3">
      <c r="A31" s="2" t="s">
        <v>42</v>
      </c>
      <c r="B31" t="s">
        <v>10</v>
      </c>
      <c r="C31" t="s">
        <v>14</v>
      </c>
      <c r="D31" t="s">
        <v>9</v>
      </c>
      <c r="E31">
        <v>53</v>
      </c>
      <c r="F31">
        <v>1.29</v>
      </c>
      <c r="G31">
        <v>68.37</v>
      </c>
      <c r="J31" t="s">
        <v>9</v>
      </c>
      <c r="K31" t="s">
        <v>17</v>
      </c>
      <c r="N31">
        <v>167.44</v>
      </c>
    </row>
    <row r="32" spans="1:14" x14ac:dyDescent="0.3">
      <c r="A32" s="2" t="s">
        <v>43</v>
      </c>
      <c r="B32" t="s">
        <v>10</v>
      </c>
      <c r="C32" t="s">
        <v>14</v>
      </c>
      <c r="D32" t="s">
        <v>12</v>
      </c>
      <c r="E32">
        <v>80</v>
      </c>
      <c r="F32">
        <v>8.99</v>
      </c>
      <c r="G32">
        <v>719.2</v>
      </c>
      <c r="J32" t="s">
        <v>9</v>
      </c>
      <c r="K32" t="s">
        <v>19</v>
      </c>
      <c r="N32">
        <v>63.68</v>
      </c>
    </row>
    <row r="33" spans="1:14" x14ac:dyDescent="0.3">
      <c r="A33" s="2" t="s">
        <v>44</v>
      </c>
      <c r="B33" t="s">
        <v>10</v>
      </c>
      <c r="C33" t="s">
        <v>11</v>
      </c>
      <c r="D33" t="s">
        <v>24</v>
      </c>
      <c r="E33">
        <v>5</v>
      </c>
      <c r="F33">
        <v>125</v>
      </c>
      <c r="G33">
        <v>625</v>
      </c>
      <c r="J33" t="s">
        <v>49</v>
      </c>
      <c r="L33">
        <v>9047.34</v>
      </c>
      <c r="M33">
        <v>6002.09</v>
      </c>
      <c r="N33">
        <v>2486.7200000000003</v>
      </c>
    </row>
    <row r="34" spans="1:14" x14ac:dyDescent="0.3">
      <c r="A34" s="2">
        <v>44293</v>
      </c>
      <c r="B34" t="s">
        <v>7</v>
      </c>
      <c r="C34" t="s">
        <v>8</v>
      </c>
      <c r="D34" t="s">
        <v>25</v>
      </c>
      <c r="E34">
        <v>62</v>
      </c>
      <c r="F34">
        <v>4.99</v>
      </c>
      <c r="G34">
        <v>309.38</v>
      </c>
    </row>
    <row r="35" spans="1:14" x14ac:dyDescent="0.3">
      <c r="A35" s="2" t="s">
        <v>45</v>
      </c>
      <c r="B35" t="s">
        <v>10</v>
      </c>
      <c r="C35" t="s">
        <v>20</v>
      </c>
      <c r="D35" t="s">
        <v>25</v>
      </c>
      <c r="E35">
        <v>55</v>
      </c>
      <c r="F35">
        <v>12.49</v>
      </c>
      <c r="G35">
        <v>686.95</v>
      </c>
    </row>
    <row r="36" spans="1:14" x14ac:dyDescent="0.3">
      <c r="A36" s="2">
        <v>44385</v>
      </c>
      <c r="B36" t="s">
        <v>10</v>
      </c>
      <c r="C36" t="s">
        <v>11</v>
      </c>
      <c r="D36" t="s">
        <v>25</v>
      </c>
      <c r="E36">
        <v>42</v>
      </c>
      <c r="F36">
        <v>23.95</v>
      </c>
      <c r="G36" s="1">
        <v>1005.9</v>
      </c>
    </row>
    <row r="37" spans="1:14" x14ac:dyDescent="0.3">
      <c r="A37" s="2" t="s">
        <v>46</v>
      </c>
      <c r="B37" t="s">
        <v>16</v>
      </c>
      <c r="C37" t="s">
        <v>17</v>
      </c>
      <c r="D37" t="s">
        <v>24</v>
      </c>
      <c r="E37">
        <v>3</v>
      </c>
      <c r="F37">
        <v>275</v>
      </c>
      <c r="G37">
        <v>825</v>
      </c>
    </row>
    <row r="38" spans="1:14" x14ac:dyDescent="0.3">
      <c r="A38" s="2">
        <v>44478</v>
      </c>
      <c r="B38" t="s">
        <v>10</v>
      </c>
      <c r="C38" t="s">
        <v>14</v>
      </c>
      <c r="D38" t="s">
        <v>9</v>
      </c>
      <c r="E38">
        <v>7</v>
      </c>
      <c r="F38">
        <v>1.29</v>
      </c>
      <c r="G38">
        <v>9.0299999999999994</v>
      </c>
    </row>
    <row r="39" spans="1:14" x14ac:dyDescent="0.3">
      <c r="A39" s="2" t="s">
        <v>47</v>
      </c>
      <c r="B39" t="s">
        <v>16</v>
      </c>
      <c r="C39" t="s">
        <v>17</v>
      </c>
      <c r="D39" t="s">
        <v>15</v>
      </c>
      <c r="E39">
        <v>76</v>
      </c>
      <c r="F39">
        <v>1.99</v>
      </c>
      <c r="G39">
        <v>151.24</v>
      </c>
    </row>
    <row r="40" spans="1:14" x14ac:dyDescent="0.3">
      <c r="A40" s="2" t="s">
        <v>48</v>
      </c>
      <c r="B40" t="s">
        <v>16</v>
      </c>
      <c r="C40" t="s">
        <v>19</v>
      </c>
      <c r="D40" t="s">
        <v>12</v>
      </c>
      <c r="E40">
        <v>57</v>
      </c>
      <c r="F40">
        <v>19.989999999999998</v>
      </c>
      <c r="G40" s="1">
        <v>1139.43</v>
      </c>
    </row>
  </sheetData>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Chart</vt:lpstr>
      <vt:lpstr>Sclicer</vt:lpstr>
      <vt:lpstr>Book2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CHAVAN</dc:creator>
  <cp:lastModifiedBy>ROHIT CHAVAN</cp:lastModifiedBy>
  <dcterms:created xsi:type="dcterms:W3CDTF">2025-11-16T10:27:38Z</dcterms:created>
  <dcterms:modified xsi:type="dcterms:W3CDTF">2025-11-16T14:57:11Z</dcterms:modified>
</cp:coreProperties>
</file>